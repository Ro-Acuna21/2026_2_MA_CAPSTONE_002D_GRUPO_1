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Dashboard" sheetId="1" r:id="rId4"/>
  </sheets>
  <definedNames>
    <definedName name="_xlchart.v1.0">Dashboard!$H$22:$I$22</definedName>
    <definedName name="_xlchart.v1.1">Dashboard!$H$33:$I$33</definedName>
  </definedNames>
  <calcPr/>
  <extLst>
    <ext uri="GoogleSheetsCustomDataVersion2">
      <go:sheetsCustomData xmlns:go="http://customooxmlschemas.google.com/" r:id="rId5" roundtripDataChecksum="lncQxvgZajj+nlN42MwT/aSoBjbprS2AmLbBEYuNKlk="/>
    </ext>
  </extLst>
</workbook>
</file>

<file path=xl/sharedStrings.xml><?xml version="1.0" encoding="utf-8"?>
<sst xmlns="http://schemas.openxmlformats.org/spreadsheetml/2006/main" count="59" uniqueCount="46">
  <si>
    <t>MedSync | Avance de la versión 1.0 al 07/10/2026</t>
  </si>
  <si>
    <t>AVANCE ESTIMADO</t>
  </si>
  <si>
    <t>PENDIENTE ESTIMADO PARA V1.0</t>
  </si>
  <si>
    <t>Evidencia actual: 22/22 pruebas backend y 41/41 frontend; reserva y pacientes usan API.</t>
  </si>
  <si>
    <t>Pendiente: gestión de catálogo, disponibilidad y centros/planes por API; reportes y notificaciones operativas.</t>
  </si>
  <si>
    <t>Escala de cumplimiento (Ficha 4)</t>
  </si>
  <si>
    <t>Terminada y comprobada</t>
  </si>
  <si>
    <t>Funciona y existe evidencia</t>
  </si>
  <si>
    <t>Funciona parcialmente</t>
  </si>
  <si>
    <t>Entrega parte del resultado esperado</t>
  </si>
  <si>
    <t>Iniciada no funcional</t>
  </si>
  <si>
    <t>Existe desarrollo sin flujo comprobable</t>
  </si>
  <si>
    <t>No iniciada</t>
  </si>
  <si>
    <t>No existe evidencia funcional</t>
  </si>
  <si>
    <t>N°</t>
  </si>
  <si>
    <t>Módulo (actividades del plan 1.5)</t>
  </si>
  <si>
    <t>Semanas plan 1.5</t>
  </si>
  <si>
    <t>Peso</t>
  </si>
  <si>
    <t>Estado</t>
  </si>
  <si>
    <t>Cumplimiento</t>
  </si>
  <si>
    <t>Avance estimado</t>
  </si>
  <si>
    <t>Pendiente</t>
  </si>
  <si>
    <t>Evidencia actual y brecha pendiente</t>
  </si>
  <si>
    <t>Análisis y diseño (análisis 1 + BD 1 + arquitectura 1 + interfaces 1)</t>
  </si>
  <si>
    <t>Fichas 1 y 3: alcance, modelo de datos, interfaces y flujo principal documentados. Diseño validado para el incremento presentado.</t>
  </si>
  <si>
    <t>Usuarios y roles</t>
  </si>
  <si>
    <t>Registro y acceso con Sanctum y centro explícito. Hay restricciones y pruebas de rol para pacientes, recepción y administración; falta cobertura integral de permisos.</t>
  </si>
  <si>
    <t>Pacientes y profesionales</t>
  </si>
  <si>
    <t>Pacientes: recepción puede registrar y editar la ficha. Se comprobó que, al crear una cuenta con el mismo RUT y correo, queda vinculada a la ficha existente. Profesionales: se comprobó la edición de datos permitidos y que la cuenta vinculada se conserva. Los cambios y vínculos se verificaron en la interfaz y la base de datos. Brecha funcional pendiente: ninguna identificada para el alcance implementado; falta ordenar e incorporar las capturas de evidencia.</t>
  </si>
  <si>
    <t>Especialidades y servicios</t>
  </si>
  <si>
    <t>Servicios y especialidades se consultan desde API al reservar. Su alta y edición desde el portal administrador aún no están conectadas.</t>
  </si>
  <si>
    <t>Disponibilidad de profesionales</t>
  </si>
  <si>
    <t>Los horarios disponibles se consultan por API y se validan al reservar. Falta configurar disponibilidades desde la aplicación.</t>
  </si>
  <si>
    <t>Reserva de horas</t>
  </si>
  <si>
    <t>Ficha 3 comprobó una reserva en PostgreSQL y su visualización en Mis citas. Las reservas de paciente y recepción usan API.</t>
  </si>
  <si>
    <t>Reprogramación y cancelación</t>
  </si>
  <si>
    <t>Se comprobó el cambio de estado de la cita y su registro en el historial. También se probó la reprogramación y reasignación por recepción: se actualiza la cita existente, sin crear otra reserva. Las verificaciones se realizaron en la aplicación y en la base de datos. Brecha funcional pendiente: ninguna identificada en los flujos probados; falta ordenar e incorporar las capturas de evidencia.</t>
  </si>
  <si>
    <t>Notificaciones y reportes (notificaciones 1 + reportes 1)</t>
  </si>
  <si>
    <t>Existe una pantalla prototipo de reportes basada en estado local. No hay API de reportes ni notificaciones de reservas operativas.</t>
  </si>
  <si>
    <t>Gestión de centros y separación de datos</t>
  </si>
  <si>
    <t>Registro con selección de centro y tenant resuelto en Laravel; pruebas aíslan dos bases. La gestión de centros y planes en la interfaz aún usa datos locales.</t>
  </si>
  <si>
    <t>Integración y pruebas (integración 2 + pruebas 2)</t>
  </si>
  <si>
    <t>Fichas 2 y 3 documentan flujos con PostgreSQL. Al 07/10: 22/22 pruebas backend y 41/41 frontend. Integración clínica parcial; faltan pruebas de reservas y módulos locales.</t>
  </si>
  <si>
    <t>TOTAL</t>
  </si>
  <si>
    <t>Método: semanas del plan 1.5 / 21, multiplicadas por el cumplimiento de la escala. El porcentaje es una estimación del alcance planificado, no una medición automática. API real y prototipos locales se distinguen en cada fila.</t>
  </si>
  <si>
    <t>Porcentaje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</si>
</sst>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6">
    <font>
      <sz val="11.0"/>
      <color theme="1"/>
      <name val="Calibri"/>
      <scheme val="minor"/>
    </font>
    <font>
      <b/>
      <sz val="18.0"/>
      <color rgb="FF1F3864"/>
      <name val="Arial"/>
    </font>
    <font>
      <i/>
      <sz val="9.0"/>
      <color rgb="FF555555"/>
      <name val="Arial"/>
    </font>
    <font>
      <b/>
      <sz val="10.0"/>
      <color rgb="FFFFFFFF"/>
      <name val="Arial"/>
    </font>
    <font>
      <b/>
      <sz val="30.0"/>
      <color rgb="FF2E7D32"/>
      <name val="Arial"/>
    </font>
    <font>
      <b/>
      <sz val="30.0"/>
      <color rgb="FF5F6B7A"/>
      <name val="Arial"/>
    </font>
    <font>
      <b/>
      <sz val="11.0"/>
      <color rgb="FF1F3864"/>
      <name val="Arial"/>
    </font>
    <font>
      <b/>
      <sz val="10.0"/>
      <color rgb="FF1E3A5F"/>
      <name val="Aptos"/>
    </font>
    <font>
      <sz val="10.0"/>
      <color rgb="FF334155"/>
      <name val="Aptos"/>
    </font>
    <font>
      <sz val="9.0"/>
      <color rgb="FF000000"/>
      <name val="Arial"/>
    </font>
    <font/>
    <font>
      <sz val="10.0"/>
      <color rgb="FF000000"/>
      <name val="Arial"/>
    </font>
    <font>
      <b/>
      <sz val="10.0"/>
      <color rgb="FF000000"/>
      <name val="Arial"/>
    </font>
    <font>
      <sz val="10.0"/>
      <color rgb="FF0000FF"/>
      <name val="Arial"/>
    </font>
    <font>
      <color theme="1"/>
      <name val="Calibri"/>
      <scheme val="minor"/>
    </font>
    <font>
      <sz val="11.0"/>
      <color theme="1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2E7D32"/>
        <bgColor rgb="FF2E7D32"/>
      </patternFill>
    </fill>
    <fill>
      <patternFill patternType="solid">
        <fgColor rgb="FF5F6B7A"/>
        <bgColor rgb="FF5F6B7A"/>
      </patternFill>
    </fill>
    <fill>
      <patternFill patternType="solid">
        <fgColor rgb="FFF2F5FA"/>
        <bgColor rgb="FFF2F5FA"/>
      </patternFill>
    </fill>
    <fill>
      <patternFill patternType="solid">
        <fgColor rgb="FF1F3864"/>
        <bgColor rgb="FF1F3864"/>
      </patternFill>
    </fill>
    <fill>
      <patternFill patternType="solid">
        <fgColor rgb="FFFFF9C4"/>
        <bgColor rgb="FFFFF9C4"/>
      </patternFill>
    </fill>
  </fills>
  <borders count="4">
    <border/>
    <border>
      <left style="thin">
        <color rgb="FFC9CED8"/>
      </left>
      <right style="thin">
        <color rgb="FFC9CED8"/>
      </right>
      <top style="thin">
        <color rgb="FFC9CED8"/>
      </top>
      <bottom style="thin">
        <color rgb="FFC9CED8"/>
      </bottom>
    </border>
    <border>
      <left style="thin">
        <color rgb="FFC9CED8"/>
      </left>
      <top style="thin">
        <color rgb="FFC9CED8"/>
      </top>
      <bottom style="thin">
        <color rgb="FFC9CED8"/>
      </bottom>
    </border>
    <border>
      <right style="thin">
        <color rgb="FFC9CED8"/>
      </right>
      <top style="thin">
        <color rgb="FFC9CED8"/>
      </top>
      <bottom style="thin">
        <color rgb="FFC9CED8"/>
      </bottom>
    </border>
  </borders>
  <cellStyleXfs count="1">
    <xf borderId="0" fillId="0" fontId="0" numFmtId="0" applyAlignment="1" applyFont="1"/>
  </cellStyleXfs>
  <cellXfs count="30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2" fontId="3" numFmtId="0" xfId="0" applyAlignment="1" applyFill="1" applyFont="1">
      <alignment horizontal="center" vertical="center"/>
    </xf>
    <xf borderId="0" fillId="3" fontId="3" numFmtId="0" xfId="0" applyAlignment="1" applyFill="1" applyFont="1">
      <alignment horizontal="center" vertical="center"/>
    </xf>
    <xf borderId="0" fillId="4" fontId="4" numFmtId="10" xfId="0" applyAlignment="1" applyFill="1" applyFont="1" applyNumberFormat="1">
      <alignment horizontal="center" vertical="center"/>
    </xf>
    <xf borderId="0" fillId="4" fontId="5" numFmtId="10" xfId="0" applyAlignment="1" applyFill="1" applyFont="1" applyNumberFormat="1">
      <alignment horizontal="center" vertical="center"/>
    </xf>
    <xf borderId="0" fillId="0" fontId="6" numFmtId="0" xfId="0" applyFont="1"/>
    <xf borderId="0" fillId="0" fontId="7" numFmtId="0" xfId="0" applyAlignment="1" applyFont="1">
      <alignment shrinkToFit="0" vertical="center" wrapText="1"/>
    </xf>
    <xf borderId="0" fillId="0" fontId="8" numFmtId="0" xfId="0" applyAlignment="1" applyFont="1">
      <alignment shrinkToFit="0" vertical="center" wrapText="1"/>
    </xf>
    <xf borderId="1" fillId="0" fontId="9" numFmtId="0" xfId="0" applyBorder="1" applyFont="1"/>
    <xf borderId="1" fillId="0" fontId="9" numFmtId="9" xfId="0" applyAlignment="1" applyBorder="1" applyFont="1" applyNumberFormat="1">
      <alignment horizontal="center"/>
    </xf>
    <xf borderId="2" fillId="0" fontId="9" numFmtId="0" xfId="0" applyBorder="1" applyFont="1"/>
    <xf borderId="3" fillId="0" fontId="10" numFmtId="0" xfId="0" applyBorder="1" applyFont="1"/>
    <xf borderId="1" fillId="5" fontId="3" numFmtId="0" xfId="0" applyAlignment="1" applyBorder="1" applyFill="1" applyFont="1">
      <alignment horizontal="center" shrinkToFit="0" vertical="center" wrapText="1"/>
    </xf>
    <xf borderId="1" fillId="0" fontId="11" numFmtId="0" xfId="0" applyAlignment="1" applyBorder="1" applyFont="1">
      <alignment horizontal="center" shrinkToFit="0" vertical="center" wrapText="1"/>
    </xf>
    <xf borderId="1" fillId="0" fontId="12" numFmtId="0" xfId="0" applyAlignment="1" applyBorder="1" applyFont="1">
      <alignment horizontal="left" shrinkToFit="0" vertical="center" wrapText="1"/>
    </xf>
    <xf borderId="1" fillId="0" fontId="13" numFmtId="0" xfId="0" applyAlignment="1" applyBorder="1" applyFont="1">
      <alignment horizontal="center" shrinkToFit="0" vertical="center" wrapText="1"/>
    </xf>
    <xf borderId="1" fillId="0" fontId="11" numFmtId="10" xfId="0" applyAlignment="1" applyBorder="1" applyFont="1" applyNumberFormat="1">
      <alignment horizontal="center" shrinkToFit="0" vertical="center" wrapText="1"/>
    </xf>
    <xf borderId="1" fillId="6" fontId="11" numFmtId="0" xfId="0" applyAlignment="1" applyBorder="1" applyFill="1" applyFont="1">
      <alignment horizontal="center" shrinkToFit="0" vertical="center" wrapText="1"/>
    </xf>
    <xf borderId="1" fillId="0" fontId="11" numFmtId="9" xfId="0" applyAlignment="1" applyBorder="1" applyFont="1" applyNumberFormat="1">
      <alignment horizontal="center" shrinkToFit="0" vertical="center" wrapText="1"/>
    </xf>
    <xf borderId="1" fillId="0" fontId="9" numFmtId="0" xfId="0" applyAlignment="1" applyBorder="1" applyFont="1">
      <alignment horizontal="left" shrinkToFit="0" vertical="center" wrapText="1"/>
    </xf>
    <xf borderId="1" fillId="6" fontId="11" numFmtId="0" xfId="0" applyAlignment="1" applyBorder="1" applyFill="1" applyFont="1">
      <alignment horizontal="center" readingOrder="0" shrinkToFit="0" vertical="center" wrapText="1"/>
    </xf>
    <xf borderId="0" fillId="0" fontId="14" numFmtId="0" xfId="0" applyAlignment="1" applyFont="1">
      <alignment readingOrder="0" shrinkToFit="0" wrapText="1"/>
    </xf>
    <xf borderId="1" fillId="0" fontId="9" numFmtId="0" xfId="0" applyAlignment="1" applyBorder="1" applyFont="1">
      <alignment horizontal="left" readingOrder="0" shrinkToFit="0" vertical="center" wrapText="1"/>
    </xf>
    <xf borderId="1" fillId="4" fontId="12" numFmtId="0" xfId="0" applyAlignment="1" applyBorder="1" applyFill="1" applyFont="1">
      <alignment horizontal="center"/>
    </xf>
    <xf borderId="1" fillId="4" fontId="12" numFmtId="10" xfId="0" applyAlignment="1" applyBorder="1" applyFill="1" applyFont="1" applyNumberFormat="1">
      <alignment horizontal="center"/>
    </xf>
    <xf borderId="0" fillId="0" fontId="2" numFmtId="0" xfId="0" applyAlignment="1" applyFont="1">
      <alignment shrinkToFit="0" vertical="top" wrapText="1"/>
    </xf>
    <xf borderId="0" fillId="0" fontId="14" numFmtId="0" xfId="0" applyFont="1"/>
    <xf borderId="0" fillId="0" fontId="15" numFmtId="10" xfId="0" applyAlignment="1" applyFont="1" applyNumberFormat="1">
      <alignment shrinkToFit="0" vertical="bottom" wrapText="0"/>
    </xf>
  </cellXfs>
  <cellStyles count="1">
    <cellStyle xfId="0" name="Normal" builtinId="0"/>
  </cellStyles>
  <dxfs count="4">
    <dxf>
      <font/>
      <fill>
        <patternFill patternType="solid">
          <fgColor rgb="FFC8E6C9"/>
          <bgColor rgb="FFC8E6C9"/>
        </patternFill>
      </fill>
      <border/>
    </dxf>
    <dxf>
      <font/>
      <fill>
        <patternFill patternType="solid">
          <fgColor rgb="FFFFE0B2"/>
          <bgColor rgb="FFFFE0B2"/>
        </patternFill>
      </fill>
      <border/>
    </dxf>
    <dxf>
      <font/>
      <fill>
        <patternFill patternType="solid">
          <fgColor rgb="FFFFCDD2"/>
          <bgColor rgb="FFFFCDD2"/>
        </patternFill>
      </fill>
      <border/>
    </dxf>
    <dxf>
      <font/>
      <fill>
        <patternFill patternType="solid">
          <fgColor rgb="FFE0E0E0"/>
          <bgColor rgb="FFE0E0E0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b="0">
                <a:solidFill>
                  <a:srgbClr val="757575"/>
                </a:solidFill>
                <a:latin typeface="+mn-lt"/>
              </a:rPr>
              <a:t>Avance estimado</a:t>
            </a:r>
          </a:p>
        </c:rich>
      </c:tx>
      <c:overlay val="0"/>
    </c:title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F81BD"/>
              </a:solidFill>
            </c:spPr>
          </c:dPt>
          <c:dPt>
            <c:idx val="1"/>
            <c:spPr>
              <a:solidFill>
                <a:srgbClr val="C0504D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Dashboard!$H$38:$H$39</c:f>
            </c:strRef>
          </c:cat>
          <c:val>
            <c:numRef>
              <c:f>Dashboard!$I$38:$I$39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b"/>
      <c:overlay val="0"/>
      <c:txPr>
        <a:bodyPr/>
        <a:lstStyle/>
        <a:p>
          <a:pPr lvl="0">
            <a:defRPr b="1" i="0">
              <a:solidFill>
                <a:srgbClr val="1A1A1A"/>
              </a:solidFill>
              <a:latin typeface="Arial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0</xdr:colOff>
      <xdr:row>2</xdr:row>
      <xdr:rowOff>0</xdr:rowOff>
    </xdr:from>
    <xdr:ext cx="6667500" cy="3686175"/>
    <xdr:graphicFrame>
      <xdr:nvGraphicFramePr>
        <xdr:cNvPr id="139689155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2.0"/>
    <col customWidth="1" min="2" max="2" width="5.0"/>
    <col customWidth="1" min="3" max="3" width="40.0"/>
    <col customWidth="1" min="4" max="5" width="10.0"/>
    <col customWidth="1" min="6" max="6" width="23.0"/>
    <col customWidth="1" min="7" max="8" width="13.0"/>
    <col customWidth="1" min="9" max="9" width="12.0"/>
    <col customWidth="1" min="10" max="10" width="75.0"/>
  </cols>
  <sheetData>
    <row r="1" ht="14.25" customHeight="1"/>
    <row r="2" ht="30.0" customHeight="1">
      <c r="B2" s="1" t="s">
        <v>0</v>
      </c>
    </row>
    <row r="3" ht="14.25" customHeight="1">
      <c r="B3" s="2"/>
    </row>
    <row r="4" ht="14.25" customHeight="1"/>
    <row r="5" ht="21.75" customHeight="1">
      <c r="B5" s="3" t="s">
        <v>1</v>
      </c>
      <c r="D5" s="4" t="s">
        <v>2</v>
      </c>
    </row>
    <row r="6" ht="18.0" customHeight="1">
      <c r="B6" s="5">
        <f>H33</f>
        <v>0.6904761905</v>
      </c>
      <c r="D6" s="6">
        <f>I33</f>
        <v>0.3095238095</v>
      </c>
    </row>
    <row r="7" ht="18.0" customHeight="1"/>
    <row r="8" ht="18.0" customHeight="1"/>
    <row r="9" ht="14.25" customHeight="1"/>
    <row r="10" ht="14.25" customHeight="1">
      <c r="B10" s="7"/>
    </row>
    <row r="11" ht="24.0" customHeight="1">
      <c r="B11" s="8"/>
    </row>
    <row r="12" ht="24.0" customHeight="1">
      <c r="B12" s="9" t="s">
        <v>3</v>
      </c>
    </row>
    <row r="13" ht="24.0" customHeight="1">
      <c r="B13" s="9" t="s">
        <v>4</v>
      </c>
    </row>
    <row r="14" ht="14.25" customHeight="1"/>
    <row r="15" ht="14.25" customHeight="1">
      <c r="B15" s="7" t="s">
        <v>5</v>
      </c>
    </row>
    <row r="16" ht="14.25" customHeight="1">
      <c r="C16" s="10" t="s">
        <v>6</v>
      </c>
      <c r="D16" s="11">
        <v>1.0</v>
      </c>
      <c r="E16" s="12" t="s">
        <v>7</v>
      </c>
      <c r="F16" s="13"/>
    </row>
    <row r="17" ht="14.25" customHeight="1">
      <c r="C17" s="10" t="s">
        <v>8</v>
      </c>
      <c r="D17" s="11">
        <v>0.5</v>
      </c>
      <c r="E17" s="12" t="s">
        <v>9</v>
      </c>
      <c r="F17" s="13"/>
    </row>
    <row r="18" ht="14.25" customHeight="1">
      <c r="C18" s="10" t="s">
        <v>10</v>
      </c>
      <c r="D18" s="11">
        <v>0.25</v>
      </c>
      <c r="E18" s="12" t="s">
        <v>11</v>
      </c>
      <c r="F18" s="13"/>
    </row>
    <row r="19" ht="14.25" customHeight="1">
      <c r="C19" s="10" t="s">
        <v>12</v>
      </c>
      <c r="D19" s="11">
        <v>0.0</v>
      </c>
      <c r="E19" s="12" t="s">
        <v>13</v>
      </c>
      <c r="F19" s="13"/>
    </row>
    <row r="20" ht="14.25" customHeight="1"/>
    <row r="21" ht="14.25" customHeight="1"/>
    <row r="22" ht="30.0" customHeight="1">
      <c r="B22" s="14" t="s">
        <v>14</v>
      </c>
      <c r="C22" s="14" t="s">
        <v>15</v>
      </c>
      <c r="D22" s="14" t="s">
        <v>16</v>
      </c>
      <c r="E22" s="14" t="s">
        <v>17</v>
      </c>
      <c r="F22" s="14" t="s">
        <v>18</v>
      </c>
      <c r="G22" s="14" t="s">
        <v>19</v>
      </c>
      <c r="H22" s="14" t="s">
        <v>20</v>
      </c>
      <c r="I22" s="14" t="s">
        <v>21</v>
      </c>
      <c r="J22" s="14" t="s">
        <v>22</v>
      </c>
    </row>
    <row r="23" ht="48.75" customHeight="1">
      <c r="B23" s="15">
        <v>1.0</v>
      </c>
      <c r="C23" s="16" t="s">
        <v>23</v>
      </c>
      <c r="D23" s="17">
        <v>4.0</v>
      </c>
      <c r="E23" s="18">
        <f t="shared" ref="E23:E32" si="1">D23/$D$33</f>
        <v>0.1904761905</v>
      </c>
      <c r="F23" s="19" t="s">
        <v>6</v>
      </c>
      <c r="G23" s="20">
        <f t="shared" ref="G23:G32" si="2">INDEX($D$16:$D$19,MATCH(F23,$C$16:$C$19,0))</f>
        <v>1</v>
      </c>
      <c r="H23" s="18">
        <f t="shared" ref="H23:H32" si="3">E23*G23</f>
        <v>0.1904761905</v>
      </c>
      <c r="I23" s="20">
        <f t="shared" ref="I23:I32" si="4">E23-H23</f>
        <v>0</v>
      </c>
      <c r="J23" s="21" t="s">
        <v>24</v>
      </c>
    </row>
    <row r="24" ht="48.75" customHeight="1">
      <c r="B24" s="15">
        <v>2.0</v>
      </c>
      <c r="C24" s="16" t="s">
        <v>25</v>
      </c>
      <c r="D24" s="17">
        <v>2.0</v>
      </c>
      <c r="E24" s="18">
        <f t="shared" si="1"/>
        <v>0.09523809524</v>
      </c>
      <c r="F24" s="19" t="s">
        <v>8</v>
      </c>
      <c r="G24" s="20">
        <f t="shared" si="2"/>
        <v>0.5</v>
      </c>
      <c r="H24" s="18">
        <f t="shared" si="3"/>
        <v>0.04761904762</v>
      </c>
      <c r="I24" s="18">
        <f t="shared" si="4"/>
        <v>0.04761904762</v>
      </c>
      <c r="J24" s="21" t="s">
        <v>26</v>
      </c>
    </row>
    <row r="25" ht="77.25" customHeight="1">
      <c r="B25" s="15">
        <v>3.0</v>
      </c>
      <c r="C25" s="16" t="s">
        <v>27</v>
      </c>
      <c r="D25" s="17">
        <v>2.0</v>
      </c>
      <c r="E25" s="18">
        <f t="shared" si="1"/>
        <v>0.09523809524</v>
      </c>
      <c r="F25" s="22" t="s">
        <v>6</v>
      </c>
      <c r="G25" s="20">
        <f t="shared" si="2"/>
        <v>1</v>
      </c>
      <c r="H25" s="18">
        <f t="shared" si="3"/>
        <v>0.09523809524</v>
      </c>
      <c r="I25" s="18">
        <f t="shared" si="4"/>
        <v>0</v>
      </c>
      <c r="J25" s="23" t="s">
        <v>28</v>
      </c>
    </row>
    <row r="26" ht="48.75" customHeight="1">
      <c r="B26" s="15">
        <v>4.0</v>
      </c>
      <c r="C26" s="16" t="s">
        <v>29</v>
      </c>
      <c r="D26" s="17">
        <v>1.0</v>
      </c>
      <c r="E26" s="18">
        <f t="shared" si="1"/>
        <v>0.04761904762</v>
      </c>
      <c r="F26" s="19" t="s">
        <v>8</v>
      </c>
      <c r="G26" s="20">
        <f t="shared" si="2"/>
        <v>0.5</v>
      </c>
      <c r="H26" s="18">
        <f t="shared" si="3"/>
        <v>0.02380952381</v>
      </c>
      <c r="I26" s="18">
        <f t="shared" si="4"/>
        <v>0.02380952381</v>
      </c>
      <c r="J26" s="21" t="s">
        <v>30</v>
      </c>
    </row>
    <row r="27" ht="48.75" customHeight="1">
      <c r="B27" s="15">
        <v>5.0</v>
      </c>
      <c r="C27" s="16" t="s">
        <v>31</v>
      </c>
      <c r="D27" s="17">
        <v>2.0</v>
      </c>
      <c r="E27" s="18">
        <f t="shared" si="1"/>
        <v>0.09523809524</v>
      </c>
      <c r="F27" s="19" t="s">
        <v>8</v>
      </c>
      <c r="G27" s="20">
        <f t="shared" si="2"/>
        <v>0.5</v>
      </c>
      <c r="H27" s="18">
        <f t="shared" si="3"/>
        <v>0.04761904762</v>
      </c>
      <c r="I27" s="18">
        <f t="shared" si="4"/>
        <v>0.04761904762</v>
      </c>
      <c r="J27" s="21" t="s">
        <v>32</v>
      </c>
    </row>
    <row r="28" ht="48.75" customHeight="1">
      <c r="B28" s="15">
        <v>6.0</v>
      </c>
      <c r="C28" s="16" t="s">
        <v>33</v>
      </c>
      <c r="D28" s="17">
        <v>2.0</v>
      </c>
      <c r="E28" s="18">
        <f t="shared" si="1"/>
        <v>0.09523809524</v>
      </c>
      <c r="F28" s="19" t="s">
        <v>6</v>
      </c>
      <c r="G28" s="20">
        <f t="shared" si="2"/>
        <v>1</v>
      </c>
      <c r="H28" s="18">
        <f t="shared" si="3"/>
        <v>0.09523809524</v>
      </c>
      <c r="I28" s="20">
        <f t="shared" si="4"/>
        <v>0</v>
      </c>
      <c r="J28" s="21" t="s">
        <v>34</v>
      </c>
    </row>
    <row r="29" ht="80.25" customHeight="1">
      <c r="B29" s="15">
        <v>7.0</v>
      </c>
      <c r="C29" s="16" t="s">
        <v>35</v>
      </c>
      <c r="D29" s="17">
        <v>1.0</v>
      </c>
      <c r="E29" s="18">
        <f t="shared" si="1"/>
        <v>0.04761904762</v>
      </c>
      <c r="F29" s="22" t="s">
        <v>6</v>
      </c>
      <c r="G29" s="20">
        <f t="shared" si="2"/>
        <v>1</v>
      </c>
      <c r="H29" s="18">
        <f t="shared" si="3"/>
        <v>0.04761904762</v>
      </c>
      <c r="I29" s="18">
        <f t="shared" si="4"/>
        <v>0</v>
      </c>
      <c r="J29" s="24" t="s">
        <v>36</v>
      </c>
    </row>
    <row r="30" ht="48.75" customHeight="1">
      <c r="B30" s="15">
        <v>8.0</v>
      </c>
      <c r="C30" s="16" t="s">
        <v>37</v>
      </c>
      <c r="D30" s="17">
        <v>2.0</v>
      </c>
      <c r="E30" s="18">
        <f t="shared" si="1"/>
        <v>0.09523809524</v>
      </c>
      <c r="F30" s="19" t="s">
        <v>10</v>
      </c>
      <c r="G30" s="20">
        <f t="shared" si="2"/>
        <v>0.25</v>
      </c>
      <c r="H30" s="18">
        <f t="shared" si="3"/>
        <v>0.02380952381</v>
      </c>
      <c r="I30" s="18">
        <f t="shared" si="4"/>
        <v>0.07142857143</v>
      </c>
      <c r="J30" s="21" t="s">
        <v>38</v>
      </c>
    </row>
    <row r="31" ht="57.0" customHeight="1">
      <c r="B31" s="15">
        <v>9.0</v>
      </c>
      <c r="C31" s="16" t="s">
        <v>39</v>
      </c>
      <c r="D31" s="17">
        <v>1.0</v>
      </c>
      <c r="E31" s="18">
        <f t="shared" si="1"/>
        <v>0.04761904762</v>
      </c>
      <c r="F31" s="19" t="s">
        <v>8</v>
      </c>
      <c r="G31" s="20">
        <f t="shared" si="2"/>
        <v>0.5</v>
      </c>
      <c r="H31" s="18">
        <f t="shared" si="3"/>
        <v>0.02380952381</v>
      </c>
      <c r="I31" s="18">
        <f t="shared" si="4"/>
        <v>0.02380952381</v>
      </c>
      <c r="J31" s="21" t="s">
        <v>40</v>
      </c>
    </row>
    <row r="32" ht="57.0" customHeight="1">
      <c r="B32" s="15">
        <v>10.0</v>
      </c>
      <c r="C32" s="16" t="s">
        <v>41</v>
      </c>
      <c r="D32" s="17">
        <v>4.0</v>
      </c>
      <c r="E32" s="18">
        <f t="shared" si="1"/>
        <v>0.1904761905</v>
      </c>
      <c r="F32" s="19" t="s">
        <v>8</v>
      </c>
      <c r="G32" s="20">
        <f t="shared" si="2"/>
        <v>0.5</v>
      </c>
      <c r="H32" s="18">
        <f t="shared" si="3"/>
        <v>0.09523809524</v>
      </c>
      <c r="I32" s="18">
        <f t="shared" si="4"/>
        <v>0.09523809524</v>
      </c>
      <c r="J32" s="21" t="s">
        <v>42</v>
      </c>
    </row>
    <row r="33" ht="14.25" customHeight="1">
      <c r="B33" s="25"/>
      <c r="C33" s="25" t="s">
        <v>43</v>
      </c>
      <c r="D33" s="25">
        <f t="shared" ref="D33:E33" si="5">SUM(D23:D32)</f>
        <v>21</v>
      </c>
      <c r="E33" s="26">
        <f t="shared" si="5"/>
        <v>1</v>
      </c>
      <c r="F33" s="25"/>
      <c r="G33" s="25"/>
      <c r="H33" s="26">
        <f t="shared" ref="H33:I33" si="6">SUM(H23:H32)</f>
        <v>0.6904761905</v>
      </c>
      <c r="I33" s="26">
        <f t="shared" si="6"/>
        <v>0.3095238095</v>
      </c>
      <c r="J33" s="25"/>
    </row>
    <row r="34" ht="14.25" customHeight="1"/>
    <row r="35" ht="36.0" customHeight="1">
      <c r="B35" s="27" t="s">
        <v>44</v>
      </c>
    </row>
    <row r="36" ht="14.25" customHeight="1"/>
    <row r="37" ht="14.25" customHeight="1">
      <c r="H37" s="28" t="s">
        <v>18</v>
      </c>
      <c r="I37" s="28" t="s">
        <v>45</v>
      </c>
    </row>
    <row r="38" ht="14.25" customHeight="1">
      <c r="H38" s="28" t="s">
        <v>20</v>
      </c>
      <c r="I38" s="29">
        <f>H33</f>
        <v>0.6904761905</v>
      </c>
    </row>
    <row r="39" ht="14.25" customHeight="1">
      <c r="H39" s="28" t="s">
        <v>21</v>
      </c>
      <c r="I39" s="29">
        <f>I33</f>
        <v>0.3095238095</v>
      </c>
    </row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E16:F16"/>
    <mergeCell ref="E17:F17"/>
    <mergeCell ref="E18:F18"/>
    <mergeCell ref="E19:F19"/>
    <mergeCell ref="B35:J35"/>
    <mergeCell ref="B5:C5"/>
    <mergeCell ref="D5:F5"/>
    <mergeCell ref="B6:C8"/>
    <mergeCell ref="D6:F8"/>
    <mergeCell ref="B11:F11"/>
    <mergeCell ref="B12:F12"/>
    <mergeCell ref="B13:F13"/>
  </mergeCells>
  <conditionalFormatting sqref="F23:F32">
    <cfRule type="cellIs" dxfId="0" priority="1" operator="equal">
      <formula>"Terminada y comprobada"</formula>
    </cfRule>
  </conditionalFormatting>
  <conditionalFormatting sqref="F23:F32">
    <cfRule type="cellIs" dxfId="1" priority="2" operator="equal">
      <formula>"Funciona parcialmente"</formula>
    </cfRule>
  </conditionalFormatting>
  <conditionalFormatting sqref="F23:F32">
    <cfRule type="cellIs" dxfId="2" priority="3" operator="equal">
      <formula>"Iniciada no funcional"</formula>
    </cfRule>
  </conditionalFormatting>
  <conditionalFormatting sqref="F23:F32">
    <cfRule type="cellIs" dxfId="3" priority="4" operator="equal">
      <formula>"No iniciada"</formula>
    </cfRule>
  </conditionalFormatting>
  <dataValidations>
    <dataValidation type="list" allowBlank="1" sqref="F23:F32">
      <formula1>$C$16:$C$19</formula1>
    </dataValidation>
  </dataValidations>
  <printOptions/>
  <pageMargins bottom="0.75" footer="0.0" header="0.0" left="0.7" right="0.7" top="0.75"/>
  <pageSetup orientation="landscape"/>
  <drawing r:id="rId1"/>
</worksheet>
</file>